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o.barbosa/Repos/github/tiger900-serras-gauchas/assets/"/>
    </mc:Choice>
  </mc:AlternateContent>
  <xr:revisionPtr revIDLastSave="0" documentId="13_ncr:1_{A0E42B9F-5276-7D48-B6A5-C97B9642AFAA}" xr6:coauthVersionLast="47" xr6:coauthVersionMax="47" xr10:uidLastSave="{00000000-0000-0000-0000-000000000000}"/>
  <bookViews>
    <workbookView xWindow="3260" yWindow="2260" windowWidth="28040" windowHeight="17180" activeTab="5" xr2:uid="{C0C4ACCE-9850-3147-91A5-8B0F0C01E638}"/>
  </bookViews>
  <sheets>
    <sheet name="Roteiro Diário" sheetId="1" r:id="rId1"/>
    <sheet name="Hospedagem" sheetId="2" r:id="rId2"/>
    <sheet name="Alimentação" sheetId="3" r:id="rId3"/>
    <sheet name="Abastecimento" sheetId="4" r:id="rId4"/>
    <sheet name="Custos Totais" sheetId="5" r:id="rId5"/>
    <sheet name="Mapas e RotasTipo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 a="1"/>
  <c r="B2" i="5" s="1"/>
  <c r="B3" i="5"/>
  <c r="B4" i="5" a="1"/>
  <c r="B4" i="5" s="1"/>
  <c r="B6" i="5" a="1"/>
  <c r="B6" i="5" s="1"/>
  <c r="G6" i="4"/>
  <c r="G2" i="4"/>
  <c r="E2" i="4"/>
  <c r="E3" i="4"/>
  <c r="G3" i="4" s="1"/>
  <c r="E4" i="4"/>
  <c r="G4" i="4" s="1"/>
  <c r="E5" i="4"/>
  <c r="G5" i="4" s="1"/>
  <c r="E7" i="4" a="1"/>
  <c r="E7" i="4" s="1"/>
  <c r="G7" i="4" a="1"/>
  <c r="G7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<sst xmlns="http://schemas.openxmlformats.org/spreadsheetml/2006/main" count="173" uniqueCount="136">
  <si>
    <t>Dia</t>
  </si>
  <si>
    <t>Data</t>
  </si>
  <si>
    <t>Origem</t>
  </si>
  <si>
    <t>Destino</t>
  </si>
  <si>
    <t>Distância (km)</t>
  </si>
  <si>
    <t>Tempo (h)</t>
  </si>
  <si>
    <t>Observações</t>
  </si>
  <si>
    <t>Goiânia – GO</t>
  </si>
  <si>
    <t>Uberaba – MG</t>
  </si>
  <si>
    <t>Início da viagem</t>
  </si>
  <si>
    <t>Ourinhos – SP</t>
  </si>
  <si>
    <t>Trechos planos</t>
  </si>
  <si>
    <t>Ponta Grossa – PR</t>
  </si>
  <si>
    <t>Rodovia boa</t>
  </si>
  <si>
    <t>Lages – SC</t>
  </si>
  <si>
    <t>Visuais serranos</t>
  </si>
  <si>
    <t>Urubici – SC</t>
  </si>
  <si>
    <t>Serra do Corvo Branco</t>
  </si>
  <si>
    <t>Bom Jardim da Serra – SC</t>
  </si>
  <si>
    <t>Serra do Rio do Rastro</t>
  </si>
  <si>
    <t>São Joaquim – SC</t>
  </si>
  <si>
    <t>1.5</t>
  </si>
  <si>
    <t>Vinhos e mirantes</t>
  </si>
  <si>
    <t>Cambará do Sul – RS</t>
  </si>
  <si>
    <t>Cânions</t>
  </si>
  <si>
    <t>Gramado – RS</t>
  </si>
  <si>
    <t>Rota Romântica</t>
  </si>
  <si>
    <t>Bento Gonçalves – RS</t>
  </si>
  <si>
    <t>Vale dos Vinhedos</t>
  </si>
  <si>
    <t>Nova Petrópolis – RS</t>
  </si>
  <si>
    <t>Estrada pitoresca</t>
  </si>
  <si>
    <t>Vacaria – RS</t>
  </si>
  <si>
    <t>Transição planalto</t>
  </si>
  <si>
    <t>Curitiba – PR</t>
  </si>
  <si>
    <t>Longo trecho</t>
  </si>
  <si>
    <t>Londrina – PR</t>
  </si>
  <si>
    <t>Rodovia segura</t>
  </si>
  <si>
    <t>Retorno</t>
  </si>
  <si>
    <t>16–20</t>
  </si>
  <si>
    <t>03–07/02/2026</t>
  </si>
  <si>
    <t>Livre</t>
  </si>
  <si>
    <t>—</t>
  </si>
  <si>
    <t>Descanso e reserva</t>
  </si>
  <si>
    <t>Cidade</t>
  </si>
  <si>
    <t>Hotel/Pousada</t>
  </si>
  <si>
    <t>Valor (R$)</t>
  </si>
  <si>
    <t>Uberaba</t>
  </si>
  <si>
    <t>Pousada Dona Beja</t>
  </si>
  <si>
    <t>Café incluso</t>
  </si>
  <si>
    <t>Ourinhos</t>
  </si>
  <si>
    <t>Hotel do Sol</t>
  </si>
  <si>
    <t>Boa estrutura</t>
  </si>
  <si>
    <t>Ponta Grossa</t>
  </si>
  <si>
    <t>Barbur Plaza Hotel</t>
  </si>
  <si>
    <t>Perto do centro</t>
  </si>
  <si>
    <t>Lages</t>
  </si>
  <si>
    <t>Le Canard Lages</t>
  </si>
  <si>
    <t>Próximo BR-282</t>
  </si>
  <si>
    <t>Urubici</t>
  </si>
  <si>
    <t>Pousada das Flores</t>
  </si>
  <si>
    <t>Vista serra</t>
  </si>
  <si>
    <t>Bom Jardim da Serra</t>
  </si>
  <si>
    <t>Rio do Rastro Eco Resort</t>
  </si>
  <si>
    <t>Vista icônica</t>
  </si>
  <si>
    <t>São Joaquim</t>
  </si>
  <si>
    <t>Vinícola Monte Agudo</t>
  </si>
  <si>
    <t>Vinho e lareira</t>
  </si>
  <si>
    <t>Cambará do Sul</t>
  </si>
  <si>
    <t>Parador Casa da Montanha</t>
  </si>
  <si>
    <t>Alto padrão</t>
  </si>
  <si>
    <t>Gramado</t>
  </si>
  <si>
    <t>Hotel Ritta Höppner</t>
  </si>
  <si>
    <t>Excelente</t>
  </si>
  <si>
    <t>Bento Gonçalves</t>
  </si>
  <si>
    <t>Spa do Vinho</t>
  </si>
  <si>
    <t>Vinhedos</t>
  </si>
  <si>
    <t>Nova Petrópolis</t>
  </si>
  <si>
    <t>Pousada da Chaminé</t>
  </si>
  <si>
    <t>Aconchegante</t>
  </si>
  <si>
    <t>Vacaria</t>
  </si>
  <si>
    <t>Pousada Bom Pastor</t>
  </si>
  <si>
    <t>Simples e boa</t>
  </si>
  <si>
    <t>Curitiba</t>
  </si>
  <si>
    <t>Slaviero Centro</t>
  </si>
  <si>
    <t>Centro</t>
  </si>
  <si>
    <t>Londrina</t>
  </si>
  <si>
    <t>Thomasi Hotel</t>
  </si>
  <si>
    <t>Pernoite</t>
  </si>
  <si>
    <t>Goiânia</t>
  </si>
  <si>
    <t>Casa</t>
  </si>
  <si>
    <t>Retorno final</t>
  </si>
  <si>
    <t>Custo estimado (R$)</t>
  </si>
  <si>
    <t>1–15</t>
  </si>
  <si>
    <t>Todas</t>
  </si>
  <si>
    <t>180/dia</t>
  </si>
  <si>
    <t>Média diária</t>
  </si>
  <si>
    <t>Dias extras</t>
  </si>
  <si>
    <t>Trecho</t>
  </si>
  <si>
    <t>Consumo (km/l)</t>
  </si>
  <si>
    <t>Litros</t>
  </si>
  <si>
    <t>Valor/litro (R$)</t>
  </si>
  <si>
    <t>Custo (R$)</t>
  </si>
  <si>
    <t>Goiânia – Uberaba</t>
  </si>
  <si>
    <t>Uberaba – Ourinhos</t>
  </si>
  <si>
    <t>Ourinhos – Ponta Grossa</t>
  </si>
  <si>
    <t>Ponta Grossa – Lages</t>
  </si>
  <si>
    <t>5–15</t>
  </si>
  <si>
    <t>Diversos</t>
  </si>
  <si>
    <t>Total</t>
  </si>
  <si>
    <t>4180 km</t>
  </si>
  <si>
    <t>Categoria</t>
  </si>
  <si>
    <t>Hospedagem</t>
  </si>
  <si>
    <t>15 diárias</t>
  </si>
  <si>
    <t>Alimentação</t>
  </si>
  <si>
    <t>Estimativa</t>
  </si>
  <si>
    <t>Combustível</t>
  </si>
  <si>
    <t>Gasolina</t>
  </si>
  <si>
    <t>Extras</t>
  </si>
  <si>
    <t>Passeios</t>
  </si>
  <si>
    <t>Total Estimado</t>
  </si>
  <si>
    <t>Tipo</t>
  </si>
  <si>
    <t>Descrição</t>
  </si>
  <si>
    <t>Link Google Maps</t>
  </si>
  <si>
    <t>Arquivo GPX</t>
  </si>
  <si>
    <t>Cênica Completa</t>
  </si>
  <si>
    <t>Goiânia → Urubici → Gramado → Goiânia</t>
  </si>
  <si>
    <t>https://www.google.com/maps/dir/Goiânia+GO/…</t>
  </si>
  <si>
    <t>01_Rota_Cenica_Completa.gpx</t>
  </si>
  <si>
    <t>Ida Cênica</t>
  </si>
  <si>
    <t>Goiânia → Urubici</t>
  </si>
  <si>
    <t>https://www.google.com/maps/dir/Goiânia+GO/Urubici+SC/</t>
  </si>
  <si>
    <t>02_Rota_Ida_Cenica.gpx</t>
  </si>
  <si>
    <t>Volta Asfaltada</t>
  </si>
  <si>
    <t>Gramado → Goiânia</t>
  </si>
  <si>
    <t>https://www.google.com/maps/dir/Gramado+RS/Goiânia+GO/</t>
  </si>
  <si>
    <t>03_Rota_Volta_Asfaltada.gpx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</si>
</sst>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&quot;R$&quot;\ #,##0.00"/>
    <numFmt numFmtId="170" formatCode="[$-F400]h:mm:ss\ AM/PM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2" fontId="0" fillId="0" borderId="0" xfId="0" applyNumberFormat="1"/>
    <xf numFmtId="168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04B09-C80F-1245-9AB7-02CAC27F42D8}">
  <dimension ref="A1:G17"/>
  <sheetViews>
    <sheetView workbookViewId="0">
      <selection activeCell="A18" sqref="A18"/>
    </sheetView>
  </sheetViews>
  <sheetFormatPr baseColWidth="10" defaultRowHeight="16" x14ac:dyDescent="0.2"/>
  <cols>
    <col min="1" max="1" width="6" bestFit="1" customWidth="1"/>
    <col min="2" max="2" width="13.33203125" bestFit="1" customWidth="1"/>
    <col min="3" max="4" width="21.6640625" bestFit="1" customWidth="1"/>
    <col min="6" max="6" width="9.33203125" bestFit="1" customWidth="1"/>
    <col min="7" max="7" width="19.33203125" bestFit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>
        <v>1</v>
      </c>
      <c r="B2" s="1">
        <v>46041</v>
      </c>
      <c r="C2" t="s">
        <v>7</v>
      </c>
      <c r="D2" t="s">
        <v>8</v>
      </c>
      <c r="E2">
        <v>470</v>
      </c>
      <c r="F2">
        <v>6</v>
      </c>
      <c r="G2" t="s">
        <v>9</v>
      </c>
    </row>
    <row r="3" spans="1:7" x14ac:dyDescent="0.2">
      <c r="A3">
        <v>2</v>
      </c>
      <c r="B3" s="1">
        <v>46042</v>
      </c>
      <c r="C3" t="s">
        <v>8</v>
      </c>
      <c r="D3" t="s">
        <v>10</v>
      </c>
      <c r="E3">
        <v>420</v>
      </c>
      <c r="F3">
        <v>5</v>
      </c>
      <c r="G3" t="s">
        <v>11</v>
      </c>
    </row>
    <row r="4" spans="1:7" x14ac:dyDescent="0.2">
      <c r="A4">
        <v>3</v>
      </c>
      <c r="B4" s="1">
        <v>46043</v>
      </c>
      <c r="C4" t="s">
        <v>10</v>
      </c>
      <c r="D4" t="s">
        <v>12</v>
      </c>
      <c r="E4">
        <v>400</v>
      </c>
      <c r="F4">
        <v>5</v>
      </c>
      <c r="G4" t="s">
        <v>13</v>
      </c>
    </row>
    <row r="5" spans="1:7" x14ac:dyDescent="0.2">
      <c r="A5">
        <v>4</v>
      </c>
      <c r="B5" s="1">
        <v>46044</v>
      </c>
      <c r="C5" t="s">
        <v>12</v>
      </c>
      <c r="D5" t="s">
        <v>14</v>
      </c>
      <c r="E5">
        <v>440</v>
      </c>
      <c r="F5">
        <v>6</v>
      </c>
      <c r="G5" t="s">
        <v>15</v>
      </c>
    </row>
    <row r="6" spans="1:7" x14ac:dyDescent="0.2">
      <c r="A6">
        <v>5</v>
      </c>
      <c r="B6" s="1">
        <v>46045</v>
      </c>
      <c r="C6" t="s">
        <v>14</v>
      </c>
      <c r="D6" t="s">
        <v>16</v>
      </c>
      <c r="E6">
        <v>130</v>
      </c>
      <c r="F6">
        <v>3</v>
      </c>
      <c r="G6" t="s">
        <v>17</v>
      </c>
    </row>
    <row r="7" spans="1:7" x14ac:dyDescent="0.2">
      <c r="A7">
        <v>6</v>
      </c>
      <c r="B7" s="1">
        <v>46046</v>
      </c>
      <c r="C7" t="s">
        <v>16</v>
      </c>
      <c r="D7" t="s">
        <v>18</v>
      </c>
      <c r="E7">
        <v>70</v>
      </c>
      <c r="F7">
        <v>2</v>
      </c>
      <c r="G7" t="s">
        <v>19</v>
      </c>
    </row>
    <row r="8" spans="1:7" x14ac:dyDescent="0.2">
      <c r="A8">
        <v>7</v>
      </c>
      <c r="B8" s="1">
        <v>46047</v>
      </c>
      <c r="C8" t="s">
        <v>18</v>
      </c>
      <c r="D8" t="s">
        <v>20</v>
      </c>
      <c r="E8">
        <v>45</v>
      </c>
      <c r="F8" t="s">
        <v>21</v>
      </c>
      <c r="G8" t="s">
        <v>22</v>
      </c>
    </row>
    <row r="9" spans="1:7" x14ac:dyDescent="0.2">
      <c r="A9">
        <v>8</v>
      </c>
      <c r="B9" s="1">
        <v>46048</v>
      </c>
      <c r="C9" t="s">
        <v>20</v>
      </c>
      <c r="D9" t="s">
        <v>23</v>
      </c>
      <c r="E9">
        <v>130</v>
      </c>
      <c r="F9">
        <v>3</v>
      </c>
      <c r="G9" t="s">
        <v>24</v>
      </c>
    </row>
    <row r="10" spans="1:7" x14ac:dyDescent="0.2">
      <c r="A10">
        <v>9</v>
      </c>
      <c r="B10" s="1">
        <v>46049</v>
      </c>
      <c r="C10" t="s">
        <v>23</v>
      </c>
      <c r="D10" t="s">
        <v>25</v>
      </c>
      <c r="E10">
        <v>120</v>
      </c>
      <c r="F10">
        <v>3</v>
      </c>
      <c r="G10" t="s">
        <v>26</v>
      </c>
    </row>
    <row r="11" spans="1:7" x14ac:dyDescent="0.2">
      <c r="A11">
        <v>10</v>
      </c>
      <c r="B11" s="1">
        <v>46050</v>
      </c>
      <c r="C11" t="s">
        <v>25</v>
      </c>
      <c r="D11" t="s">
        <v>27</v>
      </c>
      <c r="E11">
        <v>115</v>
      </c>
      <c r="F11">
        <v>2</v>
      </c>
      <c r="G11" t="s">
        <v>28</v>
      </c>
    </row>
    <row r="12" spans="1:7" x14ac:dyDescent="0.2">
      <c r="A12">
        <v>11</v>
      </c>
      <c r="B12" s="1">
        <v>46051</v>
      </c>
      <c r="C12" t="s">
        <v>27</v>
      </c>
      <c r="D12" t="s">
        <v>29</v>
      </c>
      <c r="E12">
        <v>65</v>
      </c>
      <c r="F12" t="s">
        <v>21</v>
      </c>
      <c r="G12" t="s">
        <v>30</v>
      </c>
    </row>
    <row r="13" spans="1:7" x14ac:dyDescent="0.2">
      <c r="A13">
        <v>12</v>
      </c>
      <c r="B13" s="1">
        <v>46052</v>
      </c>
      <c r="C13" t="s">
        <v>29</v>
      </c>
      <c r="D13" t="s">
        <v>31</v>
      </c>
      <c r="E13">
        <v>160</v>
      </c>
      <c r="F13">
        <v>3</v>
      </c>
      <c r="G13" t="s">
        <v>32</v>
      </c>
    </row>
    <row r="14" spans="1:7" x14ac:dyDescent="0.2">
      <c r="A14">
        <v>13</v>
      </c>
      <c r="B14" s="1">
        <v>46053</v>
      </c>
      <c r="C14" t="s">
        <v>31</v>
      </c>
      <c r="D14" t="s">
        <v>33</v>
      </c>
      <c r="E14">
        <v>480</v>
      </c>
      <c r="F14">
        <v>7</v>
      </c>
      <c r="G14" t="s">
        <v>34</v>
      </c>
    </row>
    <row r="15" spans="1:7" x14ac:dyDescent="0.2">
      <c r="A15">
        <v>14</v>
      </c>
      <c r="B15" s="1">
        <v>46054</v>
      </c>
      <c r="C15" t="s">
        <v>33</v>
      </c>
      <c r="D15" t="s">
        <v>35</v>
      </c>
      <c r="E15">
        <v>390</v>
      </c>
      <c r="F15">
        <v>5</v>
      </c>
      <c r="G15" t="s">
        <v>36</v>
      </c>
    </row>
    <row r="16" spans="1:7" x14ac:dyDescent="0.2">
      <c r="A16">
        <v>15</v>
      </c>
      <c r="B16" s="1">
        <v>46055</v>
      </c>
      <c r="C16" t="s">
        <v>35</v>
      </c>
      <c r="D16" t="s">
        <v>7</v>
      </c>
      <c r="E16">
        <v>700</v>
      </c>
      <c r="F16">
        <v>9</v>
      </c>
      <c r="G16" t="s">
        <v>37</v>
      </c>
    </row>
    <row r="17" spans="1:7" x14ac:dyDescent="0.2">
      <c r="A17" t="s">
        <v>38</v>
      </c>
      <c r="B17" t="s">
        <v>39</v>
      </c>
      <c r="C17" t="s">
        <v>40</v>
      </c>
      <c r="D17" t="s">
        <v>41</v>
      </c>
      <c r="E17" t="s">
        <v>41</v>
      </c>
      <c r="F17" t="s">
        <v>41</v>
      </c>
      <c r="G17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5EF9F-ADDE-834D-B01A-3497B07479DE}">
  <dimension ref="A1:E16"/>
  <sheetViews>
    <sheetView workbookViewId="0">
      <selection activeCell="D2" sqref="D2:D15"/>
    </sheetView>
  </sheetViews>
  <sheetFormatPr baseColWidth="10" defaultRowHeight="16" x14ac:dyDescent="0.2"/>
  <cols>
    <col min="1" max="1" width="4" bestFit="1" customWidth="1"/>
    <col min="2" max="2" width="17.6640625" bestFit="1" customWidth="1"/>
    <col min="3" max="3" width="23.1640625" bestFit="1" customWidth="1"/>
    <col min="4" max="4" width="9.33203125" bestFit="1" customWidth="1"/>
    <col min="5" max="5" width="14" bestFit="1" customWidth="1"/>
  </cols>
  <sheetData>
    <row r="1" spans="1:5" x14ac:dyDescent="0.2">
      <c r="A1" s="2" t="s">
        <v>0</v>
      </c>
      <c r="B1" s="2" t="s">
        <v>43</v>
      </c>
      <c r="C1" s="2" t="s">
        <v>44</v>
      </c>
      <c r="D1" s="2" t="s">
        <v>45</v>
      </c>
      <c r="E1" s="2" t="s">
        <v>6</v>
      </c>
    </row>
    <row r="2" spans="1:5" x14ac:dyDescent="0.2">
      <c r="A2">
        <v>1</v>
      </c>
      <c r="B2" t="s">
        <v>46</v>
      </c>
      <c r="C2" t="s">
        <v>47</v>
      </c>
      <c r="D2" s="4">
        <v>220</v>
      </c>
      <c r="E2" t="s">
        <v>48</v>
      </c>
    </row>
    <row r="3" spans="1:5" x14ac:dyDescent="0.2">
      <c r="A3">
        <v>2</v>
      </c>
      <c r="B3" t="s">
        <v>49</v>
      </c>
      <c r="C3" t="s">
        <v>50</v>
      </c>
      <c r="D3" s="4">
        <v>200</v>
      </c>
      <c r="E3" t="s">
        <v>51</v>
      </c>
    </row>
    <row r="4" spans="1:5" x14ac:dyDescent="0.2">
      <c r="A4">
        <v>3</v>
      </c>
      <c r="B4" t="s">
        <v>52</v>
      </c>
      <c r="C4" t="s">
        <v>53</v>
      </c>
      <c r="D4" s="4">
        <v>250</v>
      </c>
      <c r="E4" t="s">
        <v>54</v>
      </c>
    </row>
    <row r="5" spans="1:5" x14ac:dyDescent="0.2">
      <c r="A5">
        <v>4</v>
      </c>
      <c r="B5" t="s">
        <v>55</v>
      </c>
      <c r="C5" t="s">
        <v>56</v>
      </c>
      <c r="D5" s="4">
        <v>260</v>
      </c>
      <c r="E5" t="s">
        <v>57</v>
      </c>
    </row>
    <row r="6" spans="1:5" x14ac:dyDescent="0.2">
      <c r="A6">
        <v>5</v>
      </c>
      <c r="B6" t="s">
        <v>58</v>
      </c>
      <c r="C6" t="s">
        <v>59</v>
      </c>
      <c r="D6" s="4">
        <v>280</v>
      </c>
      <c r="E6" t="s">
        <v>60</v>
      </c>
    </row>
    <row r="7" spans="1:5" x14ac:dyDescent="0.2">
      <c r="A7">
        <v>6</v>
      </c>
      <c r="B7" t="s">
        <v>61</v>
      </c>
      <c r="C7" t="s">
        <v>62</v>
      </c>
      <c r="D7" s="4">
        <v>480</v>
      </c>
      <c r="E7" t="s">
        <v>63</v>
      </c>
    </row>
    <row r="8" spans="1:5" x14ac:dyDescent="0.2">
      <c r="A8">
        <v>7</v>
      </c>
      <c r="B8" t="s">
        <v>64</v>
      </c>
      <c r="C8" t="s">
        <v>65</v>
      </c>
      <c r="D8" s="4">
        <v>300</v>
      </c>
      <c r="E8" t="s">
        <v>66</v>
      </c>
    </row>
    <row r="9" spans="1:5" x14ac:dyDescent="0.2">
      <c r="A9">
        <v>8</v>
      </c>
      <c r="B9" t="s">
        <v>67</v>
      </c>
      <c r="C9" t="s">
        <v>68</v>
      </c>
      <c r="D9" s="4">
        <v>650</v>
      </c>
      <c r="E9" t="s">
        <v>69</v>
      </c>
    </row>
    <row r="10" spans="1:5" x14ac:dyDescent="0.2">
      <c r="A10">
        <v>9</v>
      </c>
      <c r="B10" t="s">
        <v>70</v>
      </c>
      <c r="C10" t="s">
        <v>71</v>
      </c>
      <c r="D10" s="4">
        <v>600</v>
      </c>
      <c r="E10" t="s">
        <v>72</v>
      </c>
    </row>
    <row r="11" spans="1:5" x14ac:dyDescent="0.2">
      <c r="A11">
        <v>10</v>
      </c>
      <c r="B11" t="s">
        <v>73</v>
      </c>
      <c r="C11" t="s">
        <v>74</v>
      </c>
      <c r="D11" s="4">
        <v>550</v>
      </c>
      <c r="E11" t="s">
        <v>75</v>
      </c>
    </row>
    <row r="12" spans="1:5" x14ac:dyDescent="0.2">
      <c r="A12">
        <v>11</v>
      </c>
      <c r="B12" t="s">
        <v>76</v>
      </c>
      <c r="C12" t="s">
        <v>77</v>
      </c>
      <c r="D12" s="4">
        <v>230</v>
      </c>
      <c r="E12" t="s">
        <v>78</v>
      </c>
    </row>
    <row r="13" spans="1:5" x14ac:dyDescent="0.2">
      <c r="A13">
        <v>12</v>
      </c>
      <c r="B13" t="s">
        <v>79</v>
      </c>
      <c r="C13" t="s">
        <v>80</v>
      </c>
      <c r="D13" s="4">
        <v>200</v>
      </c>
      <c r="E13" t="s">
        <v>81</v>
      </c>
    </row>
    <row r="14" spans="1:5" x14ac:dyDescent="0.2">
      <c r="A14">
        <v>13</v>
      </c>
      <c r="B14" t="s">
        <v>82</v>
      </c>
      <c r="C14" t="s">
        <v>83</v>
      </c>
      <c r="D14" s="4">
        <v>270</v>
      </c>
      <c r="E14" t="s">
        <v>84</v>
      </c>
    </row>
    <row r="15" spans="1:5" x14ac:dyDescent="0.2">
      <c r="A15">
        <v>14</v>
      </c>
      <c r="B15" t="s">
        <v>85</v>
      </c>
      <c r="C15" t="s">
        <v>86</v>
      </c>
      <c r="D15" s="4">
        <v>220</v>
      </c>
      <c r="E15" t="s">
        <v>87</v>
      </c>
    </row>
    <row r="16" spans="1:5" x14ac:dyDescent="0.2">
      <c r="A16">
        <v>15</v>
      </c>
      <c r="B16" t="s">
        <v>88</v>
      </c>
      <c r="C16" t="s">
        <v>89</v>
      </c>
      <c r="D16" t="s">
        <v>41</v>
      </c>
      <c r="E16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691F7-AA46-8645-B728-A02625891C20}">
  <dimension ref="A1:D3"/>
  <sheetViews>
    <sheetView workbookViewId="0">
      <selection activeCell="B6" sqref="B6"/>
    </sheetView>
  </sheetViews>
  <sheetFormatPr baseColWidth="10" defaultRowHeight="16" x14ac:dyDescent="0.2"/>
  <cols>
    <col min="1" max="1" width="6" bestFit="1" customWidth="1"/>
    <col min="2" max="2" width="7" bestFit="1" customWidth="1"/>
    <col min="3" max="3" width="18.33203125" bestFit="1" customWidth="1"/>
    <col min="4" max="4" width="12" bestFit="1" customWidth="1"/>
  </cols>
  <sheetData>
    <row r="1" spans="1:4" x14ac:dyDescent="0.2">
      <c r="A1" s="2" t="s">
        <v>0</v>
      </c>
      <c r="B1" s="2" t="s">
        <v>43</v>
      </c>
      <c r="C1" s="2" t="s">
        <v>91</v>
      </c>
      <c r="D1" s="2" t="s">
        <v>6</v>
      </c>
    </row>
    <row r="2" spans="1:4" x14ac:dyDescent="0.2">
      <c r="A2" t="s">
        <v>92</v>
      </c>
      <c r="B2" t="s">
        <v>93</v>
      </c>
      <c r="C2" t="s">
        <v>94</v>
      </c>
      <c r="D2" t="s">
        <v>95</v>
      </c>
    </row>
    <row r="3" spans="1:4" x14ac:dyDescent="0.2">
      <c r="A3" t="s">
        <v>38</v>
      </c>
      <c r="B3" t="s">
        <v>40</v>
      </c>
      <c r="C3" t="s">
        <v>41</v>
      </c>
      <c r="D3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15B1F-9902-EC4B-A45B-60FDD3F7B8F6}">
  <dimension ref="A1:G7"/>
  <sheetViews>
    <sheetView workbookViewId="0">
      <selection activeCell="G7" sqref="G7"/>
    </sheetView>
  </sheetViews>
  <sheetFormatPr baseColWidth="10" defaultRowHeight="16" x14ac:dyDescent="0.2"/>
  <cols>
    <col min="1" max="1" width="5.1640625" bestFit="1" customWidth="1"/>
    <col min="2" max="2" width="21" bestFit="1" customWidth="1"/>
    <col min="3" max="3" width="13.1640625" bestFit="1" customWidth="1"/>
    <col min="4" max="4" width="14.6640625" bestFit="1" customWidth="1"/>
    <col min="5" max="5" width="8.1640625" bestFit="1" customWidth="1"/>
    <col min="6" max="6" width="13.33203125" bestFit="1" customWidth="1"/>
    <col min="7" max="7" width="10" bestFit="1" customWidth="1"/>
  </cols>
  <sheetData>
    <row r="1" spans="1:7" x14ac:dyDescent="0.2">
      <c r="A1" s="2" t="s">
        <v>0</v>
      </c>
      <c r="B1" s="2" t="s">
        <v>97</v>
      </c>
      <c r="C1" s="2" t="s">
        <v>4</v>
      </c>
      <c r="D1" s="2" t="s">
        <v>98</v>
      </c>
      <c r="E1" s="2" t="s">
        <v>99</v>
      </c>
      <c r="F1" s="2" t="s">
        <v>100</v>
      </c>
      <c r="G1" s="2" t="s">
        <v>101</v>
      </c>
    </row>
    <row r="2" spans="1:7" x14ac:dyDescent="0.2">
      <c r="A2">
        <v>1</v>
      </c>
      <c r="B2" t="s">
        <v>102</v>
      </c>
      <c r="C2" s="3">
        <v>470</v>
      </c>
      <c r="D2" s="3">
        <v>20</v>
      </c>
      <c r="E2" s="3">
        <f>C2/D2</f>
        <v>23.5</v>
      </c>
      <c r="F2" s="4">
        <v>7</v>
      </c>
      <c r="G2">
        <f>E2*F2</f>
        <v>164.5</v>
      </c>
    </row>
    <row r="3" spans="1:7" x14ac:dyDescent="0.2">
      <c r="A3">
        <v>2</v>
      </c>
      <c r="B3" t="s">
        <v>103</v>
      </c>
      <c r="C3" s="3">
        <v>420</v>
      </c>
      <c r="D3" s="3">
        <v>20</v>
      </c>
      <c r="E3" s="3">
        <f>C3/D3</f>
        <v>21</v>
      </c>
      <c r="F3" s="4">
        <v>7</v>
      </c>
      <c r="G3">
        <f>E3*F3</f>
        <v>147</v>
      </c>
    </row>
    <row r="4" spans="1:7" x14ac:dyDescent="0.2">
      <c r="A4">
        <v>3</v>
      </c>
      <c r="B4" t="s">
        <v>104</v>
      </c>
      <c r="C4" s="3">
        <v>400</v>
      </c>
      <c r="D4" s="3">
        <v>20</v>
      </c>
      <c r="E4" s="3">
        <f>C4/D4</f>
        <v>20</v>
      </c>
      <c r="F4" s="4">
        <v>7</v>
      </c>
      <c r="G4">
        <f>E4*F4</f>
        <v>140</v>
      </c>
    </row>
    <row r="5" spans="1:7" x14ac:dyDescent="0.2">
      <c r="A5">
        <v>4</v>
      </c>
      <c r="B5" t="s">
        <v>105</v>
      </c>
      <c r="C5" s="3">
        <v>440</v>
      </c>
      <c r="D5" s="3">
        <v>20</v>
      </c>
      <c r="E5" s="3">
        <f>C5/D5</f>
        <v>22</v>
      </c>
      <c r="F5" s="4">
        <v>7</v>
      </c>
      <c r="G5">
        <f>E5*F5</f>
        <v>154</v>
      </c>
    </row>
    <row r="6" spans="1:7" x14ac:dyDescent="0.2">
      <c r="A6" t="s">
        <v>106</v>
      </c>
      <c r="B6" t="s">
        <v>107</v>
      </c>
      <c r="C6" s="3">
        <v>2450</v>
      </c>
      <c r="D6" s="3">
        <v>20</v>
      </c>
      <c r="E6" s="3">
        <v>122.5</v>
      </c>
      <c r="F6" s="4">
        <v>7</v>
      </c>
      <c r="G6" s="4">
        <f>E6*F6</f>
        <v>857.5</v>
      </c>
    </row>
    <row r="7" spans="1:7" x14ac:dyDescent="0.2">
      <c r="A7" s="2" t="s">
        <v>108</v>
      </c>
      <c r="B7" t="s">
        <v>41</v>
      </c>
      <c r="C7" s="2" t="s">
        <v>109</v>
      </c>
      <c r="D7" t="s">
        <v>41</v>
      </c>
      <c r="E7" s="2" t="e" cm="1">
        <f t="array" aca="1" ref="E7" ca="1">SOMA(E2:E6)</f>
        <v>#NAME?</v>
      </c>
      <c r="F7" t="s">
        <v>41</v>
      </c>
      <c r="G7" s="2" t="e" cm="1">
        <f t="array" aca="1" ref="G7" ca="1">SOMA(G2:G6)</f>
        <v>#NAME?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FACBF-41C9-B24A-AAA4-67106429D912}">
  <dimension ref="A1:C6"/>
  <sheetViews>
    <sheetView workbookViewId="0">
      <selection activeCell="B2" sqref="B2:B6"/>
    </sheetView>
  </sheetViews>
  <sheetFormatPr baseColWidth="10" defaultRowHeight="16" x14ac:dyDescent="0.2"/>
  <cols>
    <col min="1" max="1" width="13.33203125" bestFit="1" customWidth="1"/>
    <col min="2" max="2" width="10.6640625" bestFit="1" customWidth="1"/>
    <col min="3" max="3" width="12" bestFit="1" customWidth="1"/>
  </cols>
  <sheetData>
    <row r="1" spans="1:3" x14ac:dyDescent="0.2">
      <c r="A1" s="2" t="s">
        <v>110</v>
      </c>
      <c r="B1" s="2" t="s">
        <v>45</v>
      </c>
      <c r="C1" s="2" t="s">
        <v>6</v>
      </c>
    </row>
    <row r="2" spans="1:3" x14ac:dyDescent="0.2">
      <c r="A2" t="s">
        <v>111</v>
      </c>
      <c r="B2" s="4" t="e" cm="1">
        <f t="array" aca="1" ref="B2" ca="1">SOMA(Hospedagem!D2:D15)</f>
        <v>#NAME?</v>
      </c>
      <c r="C2" t="s">
        <v>112</v>
      </c>
    </row>
    <row r="3" spans="1:3" x14ac:dyDescent="0.2">
      <c r="A3" t="s">
        <v>113</v>
      </c>
      <c r="B3" s="4">
        <f>180*15</f>
        <v>2700</v>
      </c>
      <c r="C3" t="s">
        <v>114</v>
      </c>
    </row>
    <row r="4" spans="1:3" x14ac:dyDescent="0.2">
      <c r="A4" t="s">
        <v>115</v>
      </c>
      <c r="B4" s="4" t="e" cm="1">
        <f t="array" aca="1" ref="B4" ca="1">SOMA(Abastecimento!G2:G6)</f>
        <v>#NAME?</v>
      </c>
      <c r="C4" t="s">
        <v>116</v>
      </c>
    </row>
    <row r="5" spans="1:3" x14ac:dyDescent="0.2">
      <c r="A5" t="s">
        <v>117</v>
      </c>
      <c r="B5" s="4">
        <v>500</v>
      </c>
      <c r="C5" t="s">
        <v>118</v>
      </c>
    </row>
    <row r="6" spans="1:3" x14ac:dyDescent="0.2">
      <c r="A6" s="2" t="s">
        <v>119</v>
      </c>
      <c r="B6" s="4" t="e" cm="1">
        <f t="array" aca="1" ref="B6" ca="1">SOMA(B2:B5)</f>
        <v>#NAME?</v>
      </c>
      <c r="C6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F6586-1CB4-DD4B-8659-C44C8660FF40}">
  <dimension ref="A1:F4"/>
  <sheetViews>
    <sheetView tabSelected="1" workbookViewId="0">
      <selection activeCell="D2" sqref="D2"/>
    </sheetView>
  </sheetViews>
  <sheetFormatPr baseColWidth="10" defaultRowHeight="16" x14ac:dyDescent="0.2"/>
  <cols>
    <col min="1" max="1" width="15" bestFit="1" customWidth="1"/>
    <col min="2" max="2" width="33.1640625" bestFit="1" customWidth="1"/>
    <col min="3" max="3" width="52.1640625" bestFit="1" customWidth="1"/>
    <col min="4" max="4" width="27" bestFit="1" customWidth="1"/>
    <col min="5" max="5" width="13.1640625" bestFit="1" customWidth="1"/>
    <col min="6" max="6" width="9.33203125" bestFit="1" customWidth="1"/>
  </cols>
  <sheetData>
    <row r="1" spans="1:6" x14ac:dyDescent="0.2">
      <c r="A1" s="2" t="s">
        <v>120</v>
      </c>
      <c r="B1" s="2" t="s">
        <v>121</v>
      </c>
      <c r="C1" s="2" t="s">
        <v>122</v>
      </c>
      <c r="D1" s="2" t="s">
        <v>123</v>
      </c>
      <c r="E1" s="2" t="s">
        <v>4</v>
      </c>
      <c r="F1" s="2" t="s">
        <v>5</v>
      </c>
    </row>
    <row r="2" spans="1:6" x14ac:dyDescent="0.2">
      <c r="A2" t="s">
        <v>124</v>
      </c>
      <c r="B2" t="s">
        <v>125</v>
      </c>
      <c r="C2" t="s">
        <v>126</v>
      </c>
      <c r="D2" t="s">
        <v>127</v>
      </c>
      <c r="E2" s="3">
        <v>4900</v>
      </c>
      <c r="F2" s="5">
        <v>63</v>
      </c>
    </row>
    <row r="3" spans="1:6" x14ac:dyDescent="0.2">
      <c r="A3" t="s">
        <v>128</v>
      </c>
      <c r="B3" t="s">
        <v>129</v>
      </c>
      <c r="C3" t="s">
        <v>130</v>
      </c>
      <c r="D3" t="s">
        <v>131</v>
      </c>
      <c r="E3" s="3">
        <v>2400</v>
      </c>
      <c r="F3" s="5">
        <v>29</v>
      </c>
    </row>
    <row r="4" spans="1:6" x14ac:dyDescent="0.2">
      <c r="A4" t="s">
        <v>132</v>
      </c>
      <c r="B4" t="s">
        <v>133</v>
      </c>
      <c r="C4" t="s">
        <v>134</v>
      </c>
      <c r="D4" t="s">
        <v>135</v>
      </c>
      <c r="E4" s="3">
        <v>2500</v>
      </c>
      <c r="F4" s="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Roteiro Diário</vt:lpstr>
      <vt:lpstr>Hospedagem</vt:lpstr>
      <vt:lpstr>Alimentação</vt:lpstr>
      <vt:lpstr>Abastecimento</vt:lpstr>
      <vt:lpstr>Custos Totais</vt:lpstr>
      <vt:lpstr>Mapas e RotasTipo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Juliano Morais Barbosa</dc:creator>
  <cp:lastModifiedBy>Juliano Morais Barbosa</cp:lastModifiedBy>
  <dcterms:created xsi:type="dcterms:W3CDTF">2025-12-21T13:38:26Z</dcterms:created>
  <dcterms:modified xsi:type="dcterms:W3CDTF">2025-12-21T13:52:14Z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be5f175-ff1b-4059-b3f7-1548fd161fc1_Enabled">
    <vt:lpwstr>true</vt:lpwstr>
  </property>
  <property fmtid="{D5CDD505-2E9C-101B-9397-08002B2CF9AE}" pid="3" name="MSIP_Label_bbe5f175-ff1b-4059-b3f7-1548fd161fc1_SetDate">
    <vt:lpwstr>2025-12-21T13:39:47Z</vt:lpwstr>
  </property>
  <property fmtid="{D5CDD505-2E9C-101B-9397-08002B2CF9AE}" pid="4" name="MSIP_Label_bbe5f175-ff1b-4059-b3f7-1548fd161fc1_Method">
    <vt:lpwstr>Privileged</vt:lpwstr>
  </property>
  <property fmtid="{D5CDD505-2E9C-101B-9397-08002B2CF9AE}" pid="5" name="MSIP_Label_bbe5f175-ff1b-4059-b3f7-1548fd161fc1_Name">
    <vt:lpwstr>Public</vt:lpwstr>
  </property>
  <property fmtid="{D5CDD505-2E9C-101B-9397-08002B2CF9AE}" pid="6" name="MSIP_Label_bbe5f175-ff1b-4059-b3f7-1548fd161fc1_SiteId">
    <vt:lpwstr>3f7a3df4-f85b-4ca8-98d0-08b1034e6567</vt:lpwstr>
  </property>
  <property fmtid="{D5CDD505-2E9C-101B-9397-08002B2CF9AE}" pid="7" name="MSIP_Label_bbe5f175-ff1b-4059-b3f7-1548fd161fc1_ActionId">
    <vt:lpwstr>a7a84bfd-4f35-4a9f-9164-8c431b02340b</vt:lpwstr>
  </property>
  <property fmtid="{D5CDD505-2E9C-101B-9397-08002B2CF9AE}" pid="8" name="MSIP_Label_bbe5f175-ff1b-4059-b3f7-1548fd161fc1_ContentBits">
    <vt:lpwstr>0</vt:lpwstr>
  </property>
  <property fmtid="{D5CDD505-2E9C-101B-9397-08002B2CF9AE}" pid="9" name="MSIP_Label_bbe5f175-ff1b-4059-b3f7-1548fd161fc1_Tag">
    <vt:lpwstr>50, 0, 1, 1</vt:lpwstr>
  </property>
</Properties>
</file>